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0" windowHeight="8190" tabRatio="467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Y40" i="1" l="1"/>
  <c r="X40" i="1"/>
  <c r="W40" i="1"/>
</calcChain>
</file>

<file path=xl/sharedStrings.xml><?xml version="1.0" encoding="utf-8"?>
<sst xmlns="http://schemas.openxmlformats.org/spreadsheetml/2006/main" count="354" uniqueCount="90">
  <si>
    <t>Type</t>
  </si>
  <si>
    <t>Date</t>
  </si>
  <si>
    <t>Num</t>
  </si>
  <si>
    <t>Name Street1</t>
  </si>
  <si>
    <t>Name Street2</t>
  </si>
  <si>
    <t>Name City</t>
  </si>
  <si>
    <t>Name State</t>
  </si>
  <si>
    <t>Name Zip</t>
  </si>
  <si>
    <t>Name Phone #</t>
  </si>
  <si>
    <t>Name E-Mail</t>
  </si>
  <si>
    <t>Memo</t>
  </si>
  <si>
    <t>Name</t>
  </si>
  <si>
    <t>Item</t>
  </si>
  <si>
    <t>Class</t>
  </si>
  <si>
    <t>Rep</t>
  </si>
  <si>
    <t>Qty</t>
  </si>
  <si>
    <t>Sales Price</t>
  </si>
  <si>
    <t>Original Amount</t>
  </si>
  <si>
    <t>Debit</t>
  </si>
  <si>
    <t>Credit</t>
  </si>
  <si>
    <t>Paid Amount</t>
  </si>
  <si>
    <t>COMMERCIAL</t>
  </si>
  <si>
    <t>Maintenance-Monthly</t>
  </si>
  <si>
    <t>Invoice</t>
  </si>
  <si>
    <t>QB-1111</t>
  </si>
  <si>
    <t>name street -90</t>
  </si>
  <si>
    <t>Austin</t>
  </si>
  <si>
    <t>NJ</t>
  </si>
  <si>
    <t>08109</t>
  </si>
  <si>
    <t>999-999-9999</t>
  </si>
  <si>
    <t>william.mark@yopmail.com</t>
  </si>
  <si>
    <t>Monthly Maintenance</t>
  </si>
  <si>
    <t>Mark, william</t>
  </si>
  <si>
    <t>Maintenance (MONTHLY)</t>
  </si>
  <si>
    <t>COMMERCIAL:Maintenance-Monthly</t>
  </si>
  <si>
    <t>ND</t>
  </si>
  <si>
    <t>PA</t>
  </si>
  <si>
    <t>19066</t>
  </si>
  <si>
    <t>Marble Lobby Floor, Terrazzo Hallway Floor and Alumni Hall Floor  - Mask &amp; Protect  - Clean, Hon...</t>
  </si>
  <si>
    <t>jane, smith</t>
  </si>
  <si>
    <t>Total Maintenance-Monthly</t>
  </si>
  <si>
    <t>Total COMMERCIAL</t>
  </si>
  <si>
    <t>HOTEL</t>
  </si>
  <si>
    <t>16066</t>
  </si>
  <si>
    <t>James.park@yopmail.com</t>
  </si>
  <si>
    <t>james, park</t>
  </si>
  <si>
    <t>HOTEL:Maintenance-Monthly</t>
  </si>
  <si>
    <t>BP</t>
  </si>
  <si>
    <t>Total HOTEL</t>
  </si>
  <si>
    <t>RESIDENTIAL</t>
  </si>
  <si>
    <t>Counterlife</t>
  </si>
  <si>
    <t>19073</t>
  </si>
  <si>
    <t>Kitchen - All Countertops  - Mask &amp; Protect  - Clean, Polish, Harden &amp; Seal  - Clean Up</t>
  </si>
  <si>
    <t>peter, wallk</t>
  </si>
  <si>
    <t>restoration</t>
  </si>
  <si>
    <t>RESIDENTIAL:Counterlife</t>
  </si>
  <si>
    <t>Total Counterlife</t>
  </si>
  <si>
    <t>Stone Restoration</t>
  </si>
  <si>
    <t>19004</t>
  </si>
  <si>
    <t>Kitchen, Foyer, Hall  - Mask &amp; Protect  - Clean, Hone, Polish &amp; Seal  - Clean Up</t>
  </si>
  <si>
    <t>steve, willson</t>
  </si>
  <si>
    <t>RESIDENTIAL:Stone Restoration</t>
  </si>
  <si>
    <t>Powder  - Mask &amp; Protect  - Clean, Hone, Polish &amp; Seal  - Clean Up</t>
  </si>
  <si>
    <t>Kitchen Granite  - Mask &amp; Protect  - Clean, Polish, Harden, &amp; Seal Enhance  - Clean Up</t>
  </si>
  <si>
    <t>10% Discount</t>
  </si>
  <si>
    <t>Z-Discount</t>
  </si>
  <si>
    <t>Kitchen  - Mask &amp; Protect  - Clean, Color Grout &amp; Seal - #365 Canvas  - Clean Up</t>
  </si>
  <si>
    <t>bryan, adam</t>
  </si>
  <si>
    <t>Powder Room - Marble Floor  - Mask &amp; Protect  - Clean, Hone, Polish, &amp; Seal  - Clean Up</t>
  </si>
  <si>
    <t>19002</t>
  </si>
  <si>
    <t>Master Bath - Vanity and Makeup Counter  - Mask and Protect  - Clean, Hone, Polish &amp; Seal  - Cle...</t>
  </si>
  <si>
    <t>Williams, mark</t>
  </si>
  <si>
    <t>Hall Bath - Verde Shower Floor  - Mask &amp; Protect  - Clean, Hone, Seal, Enhance  - Clean Up</t>
  </si>
  <si>
    <t>Hall Bath - Shower Base  - Caulk</t>
  </si>
  <si>
    <t>Groutlife-Caulk (Apply Caulk  Customer has selected ________________)</t>
  </si>
  <si>
    <t>18930</t>
  </si>
  <si>
    <t>Kitchen  - Mask &amp; Protect  - Clean, Hone, Polish &amp; Seal  - Clean-Up</t>
  </si>
  <si>
    <t>123-constructions</t>
  </si>
  <si>
    <t>08108</t>
  </si>
  <si>
    <t>Kitchen, Hall &amp; Foyer  - Mask &amp; Protect  - Clean, Hone, Polish to Satin Finish, Seal  - Clean Up</t>
  </si>
  <si>
    <t>Kitchen, Hall &amp; Foyer  - Mask &amp; Protect  - Add Grout Color Seal - Mapei #06 Harvest  - Clean Up</t>
  </si>
  <si>
    <t>Total Stone Restoration</t>
  </si>
  <si>
    <t>Total RESIDENTIAL</t>
  </si>
  <si>
    <t>TOTAL</t>
  </si>
  <si>
    <t>1234</t>
  </si>
  <si>
    <t>769</t>
  </si>
  <si>
    <t>545</t>
  </si>
  <si>
    <t>988</t>
  </si>
  <si>
    <t>1024</t>
  </si>
  <si>
    <t>2145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</si>
</sst>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yy"/>
    <numFmt numFmtId="165" formatCode="#,##0.00###;\-#,##0.00###"/>
    <numFmt numFmtId="166" formatCode="#,##0.00;\-#,##0.00"/>
  </numFmts>
  <fonts count="4" x14ac:knownFonts="1">
    <font>
      <sz val="11"/>
      <color rgb="FF000000"/>
      <name val="Calibri"/>
      <family val="2"/>
      <charset val="1"/>
    </font>
    <font>
      <b/>
      <sz val="8"/>
      <color rgb="FF323232"/>
      <name val="Arial"/>
      <family val="2"/>
      <charset val="1"/>
    </font>
    <font>
      <sz val="8"/>
      <color rgb="FF323232"/>
      <name val="Arial"/>
      <family val="2"/>
      <charset val="1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3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5" fontId="2" fillId="0" borderId="2" xfId="0" applyNumberFormat="1" applyFont="1" applyBorder="1"/>
    <xf numFmtId="166" fontId="2" fillId="0" borderId="2" xfId="0" applyNumberFormat="1" applyFont="1" applyBorder="1"/>
    <xf numFmtId="165" fontId="2" fillId="0" borderId="3" xfId="0" applyNumberFormat="1" applyFont="1" applyBorder="1"/>
    <xf numFmtId="166" fontId="0" fillId="0" borderId="0" xfId="0" applyNumberFormat="1"/>
    <xf numFmtId="166" fontId="2" fillId="0" borderId="3" xfId="0" applyNumberFormat="1" applyFont="1" applyBorder="1"/>
    <xf numFmtId="165" fontId="1" fillId="0" borderId="4" xfId="0" applyNumberFormat="1" applyFont="1" applyBorder="1"/>
    <xf numFmtId="166" fontId="1" fillId="0" borderId="4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2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36731</xdr:colOff>
      <xdr:row>15</xdr:row>
      <xdr:rowOff>131260</xdr:rowOff>
    </xdr:from>
    <xdr:ext cx="7040343" cy="1892569"/>
    <xdr:sp macro="" textlink="">
      <xdr:nvSpPr>
        <xdr:cNvPr id="2" name="Rectangle 1"/>
        <xdr:cNvSpPr/>
      </xdr:nvSpPr>
      <xdr:spPr>
        <a:xfrm rot="20358432">
          <a:off x="7599581" y="2988760"/>
          <a:ext cx="7040343" cy="1892569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19000"/>
            </a:srgbClr>
          </a:outerShdw>
        </a:effectLst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5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19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SAMPLE</a:t>
          </a:r>
        </a:p>
      </xdr:txBody>
    </xdr:sp>
    <xdr:clientData/>
  </xdr:oneCellAnchor>
  <xdr:oneCellAnchor>
    <xdr:from>
      <xdr:col>2</xdr:col>
      <xdr:colOff>38100</xdr:colOff>
      <xdr:row>11</xdr:row>
      <xdr:rowOff>0</xdr:rowOff>
    </xdr:from>
    <xdr:ext cx="7040343" cy="1892569"/>
    <xdr:sp macro="" textlink="">
      <xdr:nvSpPr>
        <xdr:cNvPr id="4" name="Rectangle 3"/>
        <xdr:cNvSpPr/>
      </xdr:nvSpPr>
      <xdr:spPr>
        <a:xfrm rot="20368187">
          <a:off x="1200150" y="2095500"/>
          <a:ext cx="7040343" cy="1892569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19000"/>
            </a:srgbClr>
          </a:outerShdw>
        </a:effectLst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5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19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SAMPLE</a:t>
          </a:r>
        </a:p>
      </xdr:txBody>
    </xdr:sp>
    <xdr:clientData/>
  </xdr:oneCellAnchor>
  <xdr:oneCellAnchor>
    <xdr:from>
      <xdr:col>14</xdr:col>
      <xdr:colOff>1333500</xdr:colOff>
      <xdr:row>17</xdr:row>
      <xdr:rowOff>133350</xdr:rowOff>
    </xdr:from>
    <xdr:ext cx="7040343" cy="1892569"/>
    <xdr:sp macro="" textlink="">
      <xdr:nvSpPr>
        <xdr:cNvPr id="7" name="Rectangle 6"/>
        <xdr:cNvSpPr/>
      </xdr:nvSpPr>
      <xdr:spPr>
        <a:xfrm rot="20358432">
          <a:off x="14458950" y="3371850"/>
          <a:ext cx="7040343" cy="1892569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19000"/>
            </a:srgbClr>
          </a:outerShdw>
        </a:effectLst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5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19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SAMPLE</a:t>
          </a:r>
        </a:p>
      </xdr:txBody>
    </xdr:sp>
    <xdr:clientData/>
  </xdr:oneCellAnchor>
  <xdr:oneCellAnchor>
    <xdr:from>
      <xdr:col>17</xdr:col>
      <xdr:colOff>1676400</xdr:colOff>
      <xdr:row>20</xdr:row>
      <xdr:rowOff>180975</xdr:rowOff>
    </xdr:from>
    <xdr:ext cx="7040343" cy="1892569"/>
    <xdr:sp macro="" textlink="">
      <xdr:nvSpPr>
        <xdr:cNvPr id="8" name="Rectangle 7"/>
        <xdr:cNvSpPr/>
      </xdr:nvSpPr>
      <xdr:spPr>
        <a:xfrm rot="20358432">
          <a:off x="21612225" y="3990975"/>
          <a:ext cx="7040343" cy="1892569"/>
        </a:xfrm>
        <a:prstGeom prst="rect">
          <a:avLst/>
        </a:prstGeom>
        <a:noFill/>
        <a:effectLst>
          <a:outerShdw blurRad="50800" dist="50800" dir="5400000" algn="ctr" rotWithShape="0">
            <a:srgbClr val="000000">
              <a:alpha val="19000"/>
            </a:srgbClr>
          </a:outerShdw>
        </a:effectLst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1500" b="1" cap="none" spc="50">
              <a:ln w="13500">
                <a:solidFill>
                  <a:schemeClr val="accent1">
                    <a:shade val="2500"/>
                    <a:alpha val="6500"/>
                  </a:schemeClr>
                </a:solidFill>
                <a:prstDash val="solid"/>
              </a:ln>
              <a:solidFill>
                <a:schemeClr val="accent1">
                  <a:tint val="3000"/>
                  <a:alpha val="19000"/>
                </a:schemeClr>
              </a:solidFill>
              <a:effectLst>
                <a:innerShdw blurRad="50900" dist="38500" dir="13500000">
                  <a:srgbClr val="000000">
                    <a:alpha val="60000"/>
                  </a:srgbClr>
                </a:innerShdw>
              </a:effectLst>
            </a:rPr>
            <a:t>SAMPLE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mes.park@yop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william.mark@yopmail.com" TargetMode="External"/><Relationship Id="rId1" Type="http://schemas.openxmlformats.org/officeDocument/2006/relationships/hyperlink" Target="mailto:william.mark@yop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ames.park@yopmail.com" TargetMode="External"/><Relationship Id="rId4" Type="http://schemas.openxmlformats.org/officeDocument/2006/relationships/hyperlink" Target="mailto:James.park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abSelected="1" zoomScaleNormal="100" workbookViewId="0">
      <pane ySplit="1" topLeftCell="A2" activePane="bottomLeft" state="frozen"/>
      <selection pane="bottomLeft" activeCell="N34" sqref="N34"/>
    </sheetView>
  </sheetViews>
  <sheetFormatPr defaultRowHeight="15" x14ac:dyDescent="0.25"/>
  <cols>
    <col min="1" max="6" width="8.7109375"/>
    <col min="7" max="7" width="8.7109375" style="19"/>
    <col min="8" max="8" width="11.5703125"/>
    <col min="9" max="9" width="20.5703125"/>
    <col min="10" max="10" width="11.5703125"/>
    <col min="11" max="12" width="8.7109375"/>
    <col min="13" max="13" width="12.5703125"/>
    <col min="14" max="14" width="62.140625"/>
    <col min="15" max="15" width="68.28515625"/>
    <col min="16" max="16" width="25.140625"/>
    <col min="17" max="17" width="8.7109375"/>
    <col min="18" max="18" width="25.85546875"/>
    <col min="19" max="1025" width="8.7109375"/>
  </cols>
  <sheetData>
    <row r="1" spans="1:25" x14ac:dyDescent="0.2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</row>
    <row r="2" spans="1:25" x14ac:dyDescent="0.25">
      <c r="A2" s="3"/>
      <c r="B2" s="3" t="s">
        <v>21</v>
      </c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5"/>
      <c r="U2" s="6"/>
      <c r="V2" s="6"/>
      <c r="W2" s="6"/>
      <c r="X2" s="6"/>
      <c r="Y2" s="6"/>
    </row>
    <row r="3" spans="1:25" x14ac:dyDescent="0.25">
      <c r="A3" s="3"/>
      <c r="B3" s="3"/>
      <c r="C3" s="3" t="s">
        <v>22</v>
      </c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6"/>
      <c r="V3" s="6"/>
      <c r="W3" s="6"/>
      <c r="X3" s="6"/>
      <c r="Y3" s="6"/>
    </row>
    <row r="4" spans="1:25" x14ac:dyDescent="0.25">
      <c r="A4" s="7"/>
      <c r="B4" s="7"/>
      <c r="C4" s="7"/>
      <c r="D4" s="7"/>
      <c r="E4" s="7" t="s">
        <v>23</v>
      </c>
      <c r="F4" s="8">
        <v>42584</v>
      </c>
      <c r="G4" s="7" t="s">
        <v>84</v>
      </c>
      <c r="H4" s="9" t="s">
        <v>25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10">
        <v>1</v>
      </c>
      <c r="U4" s="11">
        <v>369</v>
      </c>
      <c r="V4" s="11">
        <v>369</v>
      </c>
      <c r="W4" s="11"/>
      <c r="X4" s="11">
        <v>369</v>
      </c>
      <c r="Y4" s="11">
        <v>369</v>
      </c>
    </row>
    <row r="5" spans="1:25" x14ac:dyDescent="0.25">
      <c r="A5" s="7"/>
      <c r="B5" s="7"/>
      <c r="C5" s="7"/>
      <c r="D5" s="7"/>
      <c r="E5" s="7" t="s">
        <v>23</v>
      </c>
      <c r="F5" s="8">
        <v>42584</v>
      </c>
      <c r="G5" s="7" t="s">
        <v>84</v>
      </c>
      <c r="H5" s="9" t="s">
        <v>25</v>
      </c>
      <c r="I5" s="7"/>
      <c r="J5" s="9" t="s">
        <v>26</v>
      </c>
      <c r="K5" s="7" t="s">
        <v>27</v>
      </c>
      <c r="L5" s="7" t="s">
        <v>28</v>
      </c>
      <c r="M5" s="7" t="s">
        <v>29</v>
      </c>
      <c r="N5" s="7" t="s">
        <v>30</v>
      </c>
      <c r="O5" s="7" t="s">
        <v>31</v>
      </c>
      <c r="P5" s="7" t="s">
        <v>32</v>
      </c>
      <c r="Q5" s="7" t="s">
        <v>33</v>
      </c>
      <c r="R5" s="7" t="s">
        <v>34</v>
      </c>
      <c r="S5" s="7" t="s">
        <v>35</v>
      </c>
      <c r="T5" s="10">
        <v>1</v>
      </c>
      <c r="U5" s="11">
        <v>369</v>
      </c>
      <c r="V5" s="11">
        <v>369</v>
      </c>
      <c r="W5" s="11"/>
      <c r="X5" s="11">
        <v>369</v>
      </c>
      <c r="Y5" s="11">
        <v>369</v>
      </c>
    </row>
    <row r="6" spans="1:25" x14ac:dyDescent="0.25">
      <c r="A6" s="7"/>
      <c r="B6" s="7"/>
      <c r="C6" s="7"/>
      <c r="D6" s="7"/>
      <c r="E6" s="7" t="s">
        <v>23</v>
      </c>
      <c r="F6" s="8">
        <v>42584</v>
      </c>
      <c r="G6" s="7" t="s">
        <v>84</v>
      </c>
      <c r="H6" s="9" t="s">
        <v>25</v>
      </c>
      <c r="I6" s="7"/>
      <c r="J6" s="9" t="s">
        <v>26</v>
      </c>
      <c r="K6" s="7" t="s">
        <v>36</v>
      </c>
      <c r="L6" s="7" t="s">
        <v>37</v>
      </c>
      <c r="M6" s="7" t="s">
        <v>29</v>
      </c>
      <c r="N6" s="7" t="s">
        <v>30</v>
      </c>
      <c r="O6" s="7" t="s">
        <v>38</v>
      </c>
      <c r="P6" s="7" t="s">
        <v>39</v>
      </c>
      <c r="Q6" s="7" t="s">
        <v>33</v>
      </c>
      <c r="R6" s="7" t="s">
        <v>34</v>
      </c>
      <c r="S6" s="7" t="s">
        <v>35</v>
      </c>
      <c r="T6" s="10">
        <v>1</v>
      </c>
      <c r="U6" s="11">
        <v>395</v>
      </c>
      <c r="V6" s="11">
        <v>395</v>
      </c>
      <c r="W6" s="11"/>
      <c r="X6" s="11">
        <v>395</v>
      </c>
      <c r="Y6" s="11">
        <v>395</v>
      </c>
    </row>
    <row r="7" spans="1:25" x14ac:dyDescent="0.25">
      <c r="A7" s="7"/>
      <c r="B7" s="7"/>
      <c r="C7" s="7" t="s">
        <v>40</v>
      </c>
      <c r="D7" s="7"/>
      <c r="E7" s="7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0">
        <v>3</v>
      </c>
      <c r="U7" s="11"/>
      <c r="V7" s="11"/>
      <c r="W7" s="11">
        <v>0</v>
      </c>
      <c r="X7" s="11">
        <v>1133</v>
      </c>
      <c r="Y7" s="11">
        <v>1133</v>
      </c>
    </row>
    <row r="8" spans="1:25" x14ac:dyDescent="0.25">
      <c r="A8" s="7"/>
      <c r="B8" s="7" t="s">
        <v>41</v>
      </c>
      <c r="C8" s="7"/>
      <c r="D8" s="7"/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0">
        <v>3</v>
      </c>
      <c r="U8" s="11"/>
      <c r="V8" s="11"/>
      <c r="W8" s="11">
        <v>0</v>
      </c>
      <c r="X8" s="11">
        <v>1133</v>
      </c>
      <c r="Y8" s="11">
        <v>1133</v>
      </c>
    </row>
    <row r="9" spans="1:25" x14ac:dyDescent="0.25">
      <c r="A9" s="3"/>
      <c r="B9" s="3" t="s">
        <v>42</v>
      </c>
      <c r="C9" s="3"/>
      <c r="D9" s="3"/>
      <c r="E9" s="3"/>
      <c r="F9" s="4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5"/>
      <c r="U9" s="6"/>
      <c r="V9" s="6"/>
      <c r="W9" s="6"/>
      <c r="X9" s="6"/>
      <c r="Y9" s="6"/>
    </row>
    <row r="10" spans="1:25" x14ac:dyDescent="0.25">
      <c r="A10" s="3"/>
      <c r="B10" s="3"/>
      <c r="C10" s="3" t="s">
        <v>22</v>
      </c>
      <c r="D10" s="3"/>
      <c r="E10" s="3"/>
      <c r="F10" s="4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5"/>
      <c r="U10" s="6"/>
      <c r="V10" s="6"/>
      <c r="W10" s="6"/>
      <c r="X10" s="6"/>
      <c r="Y10" s="6"/>
    </row>
    <row r="11" spans="1:25" x14ac:dyDescent="0.25">
      <c r="A11" s="7"/>
      <c r="B11" s="7"/>
      <c r="C11" s="7"/>
      <c r="D11" s="7"/>
      <c r="E11" s="7" t="s">
        <v>23</v>
      </c>
      <c r="F11" s="8">
        <v>42584</v>
      </c>
      <c r="G11" s="7" t="s">
        <v>85</v>
      </c>
      <c r="H11" s="9" t="s">
        <v>25</v>
      </c>
      <c r="I11" s="7"/>
      <c r="J11" s="9" t="s">
        <v>26</v>
      </c>
      <c r="K11" s="7" t="s">
        <v>36</v>
      </c>
      <c r="L11" s="7" t="s">
        <v>43</v>
      </c>
      <c r="M11" s="7" t="s">
        <v>29</v>
      </c>
      <c r="N11" s="7" t="s">
        <v>44</v>
      </c>
      <c r="O11" s="7" t="s">
        <v>31</v>
      </c>
      <c r="P11" s="7" t="s">
        <v>45</v>
      </c>
      <c r="Q11" s="7" t="s">
        <v>33</v>
      </c>
      <c r="R11" s="7" t="s">
        <v>46</v>
      </c>
      <c r="S11" s="7" t="s">
        <v>47</v>
      </c>
      <c r="T11" s="10">
        <v>1</v>
      </c>
      <c r="U11" s="11">
        <v>940</v>
      </c>
      <c r="V11" s="11">
        <v>940</v>
      </c>
      <c r="W11" s="11"/>
      <c r="X11" s="11">
        <v>940</v>
      </c>
      <c r="Y11" s="11">
        <v>940</v>
      </c>
    </row>
    <row r="12" spans="1:25" x14ac:dyDescent="0.25">
      <c r="A12" s="7"/>
      <c r="B12" s="7"/>
      <c r="C12" s="7"/>
      <c r="D12" s="7"/>
      <c r="E12" s="7" t="s">
        <v>23</v>
      </c>
      <c r="F12" s="8">
        <v>42584</v>
      </c>
      <c r="G12" s="7" t="s">
        <v>85</v>
      </c>
      <c r="H12" s="9" t="s">
        <v>25</v>
      </c>
      <c r="I12" s="7"/>
      <c r="J12" s="9" t="s">
        <v>26</v>
      </c>
      <c r="K12" s="7" t="s">
        <v>36</v>
      </c>
      <c r="L12" s="7" t="s">
        <v>43</v>
      </c>
      <c r="M12" s="7" t="s">
        <v>29</v>
      </c>
      <c r="N12" s="7" t="s">
        <v>44</v>
      </c>
      <c r="O12" s="7" t="s">
        <v>31</v>
      </c>
      <c r="P12" s="7" t="s">
        <v>45</v>
      </c>
      <c r="Q12" s="7" t="s">
        <v>33</v>
      </c>
      <c r="R12" s="7" t="s">
        <v>46</v>
      </c>
      <c r="S12" s="7" t="s">
        <v>47</v>
      </c>
      <c r="T12" s="12">
        <v>1</v>
      </c>
      <c r="U12" s="11">
        <v>940</v>
      </c>
      <c r="V12" s="11">
        <v>940</v>
      </c>
      <c r="W12" s="13"/>
      <c r="X12" s="13">
        <v>940</v>
      </c>
      <c r="Y12" s="13">
        <v>940</v>
      </c>
    </row>
    <row r="13" spans="1:25" x14ac:dyDescent="0.25">
      <c r="A13" s="7"/>
      <c r="B13" s="7"/>
      <c r="C13" s="7" t="s">
        <v>40</v>
      </c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10">
        <v>2</v>
      </c>
      <c r="U13" s="11"/>
      <c r="V13" s="11"/>
      <c r="W13" s="11">
        <v>0</v>
      </c>
      <c r="X13" s="11">
        <v>1880</v>
      </c>
      <c r="Y13" s="11">
        <v>1880</v>
      </c>
    </row>
    <row r="14" spans="1:25" x14ac:dyDescent="0.25">
      <c r="A14" s="7"/>
      <c r="B14" s="7" t="s">
        <v>48</v>
      </c>
      <c r="C14" s="7"/>
      <c r="D14" s="7"/>
      <c r="E14" s="7"/>
      <c r="F14" s="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10">
        <v>2</v>
      </c>
      <c r="U14" s="11"/>
      <c r="V14" s="11"/>
      <c r="W14" s="11">
        <v>0</v>
      </c>
      <c r="X14" s="11">
        <v>1880</v>
      </c>
      <c r="Y14" s="11">
        <v>1880</v>
      </c>
    </row>
    <row r="15" spans="1:25" x14ac:dyDescent="0.25">
      <c r="A15" s="3"/>
      <c r="B15" s="3" t="s">
        <v>49</v>
      </c>
      <c r="C15" s="3"/>
      <c r="D15" s="3"/>
      <c r="E15" s="3"/>
      <c r="F15" s="4"/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5"/>
      <c r="U15" s="6"/>
      <c r="V15" s="6"/>
      <c r="W15" s="6"/>
      <c r="X15" s="6"/>
      <c r="Y15" s="6"/>
    </row>
    <row r="16" spans="1:25" x14ac:dyDescent="0.25">
      <c r="A16" s="3"/>
      <c r="B16" s="3"/>
      <c r="C16" s="3" t="s">
        <v>50</v>
      </c>
      <c r="D16" s="3"/>
      <c r="E16" s="3"/>
      <c r="F16" s="4"/>
      <c r="G16" s="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5"/>
      <c r="U16" s="6"/>
      <c r="V16" s="6"/>
      <c r="W16" s="6"/>
      <c r="X16" s="6"/>
      <c r="Y16" s="6"/>
    </row>
    <row r="17" spans="1:25" x14ac:dyDescent="0.25">
      <c r="A17" s="7"/>
      <c r="B17" s="7"/>
      <c r="C17" s="7"/>
      <c r="D17" s="7"/>
      <c r="E17" s="7" t="s">
        <v>23</v>
      </c>
      <c r="F17" s="8">
        <v>42587</v>
      </c>
      <c r="G17" s="7" t="s">
        <v>86</v>
      </c>
      <c r="H17" s="9" t="s">
        <v>25</v>
      </c>
      <c r="I17" s="7"/>
      <c r="J17" s="9" t="s">
        <v>26</v>
      </c>
      <c r="K17" s="7" t="s">
        <v>36</v>
      </c>
      <c r="L17" s="7" t="s">
        <v>51</v>
      </c>
      <c r="M17" s="7" t="s">
        <v>29</v>
      </c>
      <c r="N17" s="7"/>
      <c r="O17" s="7" t="s">
        <v>52</v>
      </c>
      <c r="P17" s="7" t="s">
        <v>53</v>
      </c>
      <c r="Q17" s="7" t="s">
        <v>54</v>
      </c>
      <c r="R17" s="7" t="s">
        <v>55</v>
      </c>
      <c r="S17" s="7" t="s">
        <v>35</v>
      </c>
      <c r="T17" s="10">
        <v>1</v>
      </c>
      <c r="U17" s="11">
        <v>595</v>
      </c>
      <c r="V17" s="11">
        <v>595</v>
      </c>
      <c r="W17" s="11"/>
      <c r="X17" s="11">
        <v>297.5</v>
      </c>
      <c r="Y17" s="11">
        <v>297.5</v>
      </c>
    </row>
    <row r="18" spans="1:25" x14ac:dyDescent="0.25">
      <c r="A18" s="7"/>
      <c r="B18" s="7"/>
      <c r="C18" s="7" t="s">
        <v>56</v>
      </c>
      <c r="D18" s="7"/>
      <c r="E18" s="7"/>
      <c r="F18" s="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10">
        <v>1</v>
      </c>
      <c r="U18" s="11"/>
      <c r="V18" s="11"/>
      <c r="W18" s="11">
        <v>0</v>
      </c>
      <c r="X18" s="11">
        <v>297.5</v>
      </c>
      <c r="Y18" s="11">
        <v>297.5</v>
      </c>
    </row>
    <row r="19" spans="1:25" x14ac:dyDescent="0.25">
      <c r="A19" s="3"/>
      <c r="B19" s="3"/>
      <c r="C19" s="3" t="s">
        <v>57</v>
      </c>
      <c r="D19" s="3"/>
      <c r="E19" s="3"/>
      <c r="F19" s="4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5"/>
      <c r="U19" s="6"/>
      <c r="V19" s="6"/>
      <c r="W19" s="6"/>
      <c r="X19" s="6"/>
      <c r="Y19" s="6"/>
    </row>
    <row r="20" spans="1:25" x14ac:dyDescent="0.25">
      <c r="A20" s="7"/>
      <c r="B20" s="7"/>
      <c r="C20" s="7"/>
      <c r="D20" s="7"/>
      <c r="E20" s="7" t="s">
        <v>23</v>
      </c>
      <c r="F20" s="8">
        <v>42583</v>
      </c>
      <c r="G20" s="7" t="s">
        <v>87</v>
      </c>
      <c r="H20" s="9" t="s">
        <v>25</v>
      </c>
      <c r="I20" s="7"/>
      <c r="J20" s="9" t="s">
        <v>26</v>
      </c>
      <c r="K20" s="7" t="s">
        <v>36</v>
      </c>
      <c r="L20" s="7" t="s">
        <v>58</v>
      </c>
      <c r="M20" s="7" t="s">
        <v>29</v>
      </c>
      <c r="N20" s="7"/>
      <c r="O20" s="7" t="s">
        <v>59</v>
      </c>
      <c r="P20" s="7" t="s">
        <v>60</v>
      </c>
      <c r="Q20" s="7" t="s">
        <v>54</v>
      </c>
      <c r="R20" s="7" t="s">
        <v>61</v>
      </c>
      <c r="S20" s="7" t="s">
        <v>35</v>
      </c>
      <c r="T20" s="10">
        <v>1</v>
      </c>
      <c r="U20" s="11">
        <v>1516</v>
      </c>
      <c r="V20" s="11">
        <v>1516</v>
      </c>
      <c r="W20" s="11"/>
      <c r="X20" s="11">
        <v>682.12</v>
      </c>
      <c r="Y20" s="11">
        <v>682.12</v>
      </c>
    </row>
    <row r="21" spans="1:25" x14ac:dyDescent="0.25">
      <c r="A21" s="7"/>
      <c r="B21" s="7"/>
      <c r="C21" s="7"/>
      <c r="D21" s="7"/>
      <c r="E21" s="7" t="s">
        <v>23</v>
      </c>
      <c r="F21" s="8">
        <v>42583</v>
      </c>
      <c r="G21" s="7" t="s">
        <v>87</v>
      </c>
      <c r="H21" s="9" t="s">
        <v>25</v>
      </c>
      <c r="I21" s="7"/>
      <c r="J21" s="9" t="s">
        <v>26</v>
      </c>
      <c r="K21" s="7" t="s">
        <v>36</v>
      </c>
      <c r="L21" s="7" t="s">
        <v>58</v>
      </c>
      <c r="M21" s="7" t="s">
        <v>29</v>
      </c>
      <c r="N21" s="7"/>
      <c r="O21" s="7" t="s">
        <v>59</v>
      </c>
      <c r="P21" s="7" t="s">
        <v>60</v>
      </c>
      <c r="Q21" s="7" t="s">
        <v>54</v>
      </c>
      <c r="R21" s="7" t="s">
        <v>61</v>
      </c>
      <c r="S21" s="7" t="s">
        <v>35</v>
      </c>
      <c r="T21" s="10">
        <v>1</v>
      </c>
      <c r="U21" s="11">
        <v>1516</v>
      </c>
      <c r="V21" s="11">
        <v>1516</v>
      </c>
      <c r="W21" s="11"/>
      <c r="X21" s="11">
        <v>151.75</v>
      </c>
      <c r="Y21" s="11">
        <v>151.75</v>
      </c>
    </row>
    <row r="22" spans="1:25" x14ac:dyDescent="0.25">
      <c r="A22" s="7"/>
      <c r="B22" s="7"/>
      <c r="C22" s="7"/>
      <c r="D22" s="7"/>
      <c r="E22" s="7" t="s">
        <v>23</v>
      </c>
      <c r="F22" s="8">
        <v>42583</v>
      </c>
      <c r="G22" s="7" t="s">
        <v>87</v>
      </c>
      <c r="H22" s="9" t="s">
        <v>25</v>
      </c>
      <c r="I22" s="7"/>
      <c r="J22" s="9" t="s">
        <v>26</v>
      </c>
      <c r="K22" s="7" t="s">
        <v>36</v>
      </c>
      <c r="L22" s="7" t="s">
        <v>58</v>
      </c>
      <c r="M22" s="7" t="s">
        <v>29</v>
      </c>
      <c r="N22" s="7"/>
      <c r="O22" s="7" t="s">
        <v>62</v>
      </c>
      <c r="P22" s="7" t="s">
        <v>60</v>
      </c>
      <c r="Q22" s="7" t="s">
        <v>54</v>
      </c>
      <c r="R22" s="7" t="s">
        <v>61</v>
      </c>
      <c r="S22" s="7" t="s">
        <v>35</v>
      </c>
      <c r="T22" s="10">
        <v>1</v>
      </c>
      <c r="U22" s="11">
        <v>206</v>
      </c>
      <c r="V22" s="11">
        <v>206</v>
      </c>
      <c r="W22" s="11"/>
      <c r="X22" s="11">
        <v>20.62</v>
      </c>
      <c r="Y22" s="11">
        <v>20.62</v>
      </c>
    </row>
    <row r="23" spans="1:25" x14ac:dyDescent="0.25">
      <c r="A23" s="7"/>
      <c r="B23" s="7"/>
      <c r="C23" s="7"/>
      <c r="D23" s="7"/>
      <c r="E23" s="7" t="s">
        <v>23</v>
      </c>
      <c r="F23" s="8">
        <v>42583</v>
      </c>
      <c r="G23" s="7" t="s">
        <v>87</v>
      </c>
      <c r="H23" s="9" t="s">
        <v>25</v>
      </c>
      <c r="I23" s="7"/>
      <c r="J23" s="9" t="s">
        <v>26</v>
      </c>
      <c r="K23" s="7" t="s">
        <v>36</v>
      </c>
      <c r="L23" s="7" t="s">
        <v>58</v>
      </c>
      <c r="M23" s="7" t="s">
        <v>29</v>
      </c>
      <c r="N23" s="7"/>
      <c r="O23" s="7" t="s">
        <v>62</v>
      </c>
      <c r="P23" s="7" t="s">
        <v>60</v>
      </c>
      <c r="Q23" s="7" t="s">
        <v>54</v>
      </c>
      <c r="R23" s="7" t="s">
        <v>61</v>
      </c>
      <c r="S23" s="7" t="s">
        <v>35</v>
      </c>
      <c r="T23" s="10">
        <v>1</v>
      </c>
      <c r="U23" s="11">
        <v>206</v>
      </c>
      <c r="V23" s="11">
        <v>206</v>
      </c>
      <c r="W23" s="11"/>
      <c r="X23" s="11">
        <v>92.69</v>
      </c>
      <c r="Y23" s="11">
        <v>92.69</v>
      </c>
    </row>
    <row r="24" spans="1:25" x14ac:dyDescent="0.25">
      <c r="A24" s="7"/>
      <c r="B24" s="7"/>
      <c r="C24" s="7"/>
      <c r="D24" s="7"/>
      <c r="E24" s="7" t="s">
        <v>23</v>
      </c>
      <c r="F24" s="8">
        <v>42583</v>
      </c>
      <c r="G24" s="7" t="s">
        <v>87</v>
      </c>
      <c r="H24" s="9" t="s">
        <v>25</v>
      </c>
      <c r="I24" s="7"/>
      <c r="J24" s="9" t="s">
        <v>26</v>
      </c>
      <c r="K24" s="7" t="s">
        <v>36</v>
      </c>
      <c r="L24" s="7" t="s">
        <v>58</v>
      </c>
      <c r="M24" s="7" t="s">
        <v>29</v>
      </c>
      <c r="N24" s="7"/>
      <c r="O24" s="7" t="s">
        <v>63</v>
      </c>
      <c r="P24" s="7" t="s">
        <v>60</v>
      </c>
      <c r="Q24" s="7" t="s">
        <v>54</v>
      </c>
      <c r="R24" s="7" t="s">
        <v>61</v>
      </c>
      <c r="S24" s="7" t="s">
        <v>35</v>
      </c>
      <c r="T24" s="10">
        <v>1</v>
      </c>
      <c r="U24" s="11">
        <v>266</v>
      </c>
      <c r="V24" s="11">
        <v>266</v>
      </c>
      <c r="W24" s="11"/>
      <c r="X24" s="11">
        <v>119.69</v>
      </c>
      <c r="Y24" s="11">
        <v>119.69</v>
      </c>
    </row>
    <row r="25" spans="1:25" x14ac:dyDescent="0.25">
      <c r="A25" s="7"/>
      <c r="B25" s="7"/>
      <c r="C25" s="7"/>
      <c r="D25" s="7"/>
      <c r="E25" s="7" t="s">
        <v>23</v>
      </c>
      <c r="F25" s="8">
        <v>42583</v>
      </c>
      <c r="G25" s="7" t="s">
        <v>87</v>
      </c>
      <c r="H25" s="9" t="s">
        <v>25</v>
      </c>
      <c r="I25" s="7"/>
      <c r="J25" s="9" t="s">
        <v>26</v>
      </c>
      <c r="K25" s="7" t="s">
        <v>36</v>
      </c>
      <c r="L25" s="7" t="s">
        <v>58</v>
      </c>
      <c r="M25" s="7" t="s">
        <v>29</v>
      </c>
      <c r="N25" s="7"/>
      <c r="O25" s="7" t="s">
        <v>63</v>
      </c>
      <c r="P25" s="7" t="s">
        <v>60</v>
      </c>
      <c r="Q25" s="7" t="s">
        <v>54</v>
      </c>
      <c r="R25" s="7" t="s">
        <v>61</v>
      </c>
      <c r="S25" s="7" t="s">
        <v>35</v>
      </c>
      <c r="T25" s="10">
        <v>1</v>
      </c>
      <c r="U25" s="11">
        <v>266</v>
      </c>
      <c r="V25" s="11">
        <v>266</v>
      </c>
      <c r="W25" s="11"/>
      <c r="X25" s="11">
        <v>26.63</v>
      </c>
      <c r="Y25" s="11">
        <v>26.63</v>
      </c>
    </row>
    <row r="26" spans="1:25" x14ac:dyDescent="0.25">
      <c r="A26" s="7"/>
      <c r="B26" s="7"/>
      <c r="C26" s="7"/>
      <c r="D26" s="7"/>
      <c r="E26" s="7" t="s">
        <v>23</v>
      </c>
      <c r="F26" s="8">
        <v>42583</v>
      </c>
      <c r="G26" s="7" t="s">
        <v>87</v>
      </c>
      <c r="H26" s="9" t="s">
        <v>25</v>
      </c>
      <c r="I26" s="7"/>
      <c r="J26" s="9" t="s">
        <v>26</v>
      </c>
      <c r="K26" s="7" t="s">
        <v>36</v>
      </c>
      <c r="L26" s="7" t="s">
        <v>58</v>
      </c>
      <c r="M26" s="7" t="s">
        <v>29</v>
      </c>
      <c r="N26" s="7"/>
      <c r="O26" s="7" t="s">
        <v>64</v>
      </c>
      <c r="P26" s="7" t="s">
        <v>60</v>
      </c>
      <c r="Q26" s="7" t="s">
        <v>65</v>
      </c>
      <c r="R26" s="7" t="s">
        <v>61</v>
      </c>
      <c r="S26" s="7" t="s">
        <v>35</v>
      </c>
      <c r="T26" s="10">
        <v>1</v>
      </c>
      <c r="U26" s="11">
        <v>-199</v>
      </c>
      <c r="V26" s="11">
        <v>-199</v>
      </c>
      <c r="W26" s="11">
        <v>20.62</v>
      </c>
      <c r="X26" s="11"/>
      <c r="Y26" s="11">
        <v>-20.62</v>
      </c>
    </row>
    <row r="27" spans="1:25" x14ac:dyDescent="0.25">
      <c r="A27" s="7"/>
      <c r="B27" s="7"/>
      <c r="C27" s="7"/>
      <c r="D27" s="7"/>
      <c r="E27" s="7" t="s">
        <v>23</v>
      </c>
      <c r="F27" s="8">
        <v>42583</v>
      </c>
      <c r="G27" s="7" t="s">
        <v>87</v>
      </c>
      <c r="H27" s="9" t="s">
        <v>25</v>
      </c>
      <c r="I27" s="7"/>
      <c r="J27" s="9" t="s">
        <v>26</v>
      </c>
      <c r="K27" s="7" t="s">
        <v>36</v>
      </c>
      <c r="L27" s="7" t="s">
        <v>58</v>
      </c>
      <c r="M27" s="7" t="s">
        <v>29</v>
      </c>
      <c r="N27" s="7"/>
      <c r="O27" s="7" t="s">
        <v>64</v>
      </c>
      <c r="P27" s="7" t="s">
        <v>60</v>
      </c>
      <c r="Q27" s="7" t="s">
        <v>65</v>
      </c>
      <c r="R27" s="7" t="s">
        <v>61</v>
      </c>
      <c r="S27" s="7" t="s">
        <v>35</v>
      </c>
      <c r="T27" s="10">
        <v>1</v>
      </c>
      <c r="U27" s="11">
        <v>-199</v>
      </c>
      <c r="V27" s="11">
        <v>-199</v>
      </c>
      <c r="W27" s="11">
        <v>26.63</v>
      </c>
      <c r="X27" s="11"/>
      <c r="Y27" s="11">
        <v>-26.63</v>
      </c>
    </row>
    <row r="28" spans="1:25" x14ac:dyDescent="0.25">
      <c r="A28" s="7"/>
      <c r="B28" s="7"/>
      <c r="C28" s="7"/>
      <c r="D28" s="7"/>
      <c r="E28" s="7" t="s">
        <v>23</v>
      </c>
      <c r="F28" s="8">
        <v>42583</v>
      </c>
      <c r="G28" s="7" t="s">
        <v>87</v>
      </c>
      <c r="H28" s="9" t="s">
        <v>25</v>
      </c>
      <c r="I28" s="7"/>
      <c r="J28" s="9" t="s">
        <v>26</v>
      </c>
      <c r="K28" s="7" t="s">
        <v>36</v>
      </c>
      <c r="L28" s="7" t="s">
        <v>58</v>
      </c>
      <c r="M28" s="7" t="s">
        <v>29</v>
      </c>
      <c r="N28" s="7"/>
      <c r="O28" s="7" t="s">
        <v>64</v>
      </c>
      <c r="P28" s="7" t="s">
        <v>60</v>
      </c>
      <c r="Q28" s="7" t="s">
        <v>65</v>
      </c>
      <c r="R28" s="7" t="s">
        <v>61</v>
      </c>
      <c r="S28" s="7" t="s">
        <v>35</v>
      </c>
      <c r="T28" s="10">
        <v>1</v>
      </c>
      <c r="U28" s="11">
        <v>-199</v>
      </c>
      <c r="V28" s="11">
        <v>-199</v>
      </c>
      <c r="W28" s="11">
        <v>151.75</v>
      </c>
      <c r="X28" s="11"/>
      <c r="Y28" s="11">
        <v>-151.75</v>
      </c>
    </row>
    <row r="29" spans="1:25" x14ac:dyDescent="0.25">
      <c r="A29" s="7"/>
      <c r="B29" s="7"/>
      <c r="C29" s="7"/>
      <c r="D29" s="7"/>
      <c r="E29" s="7" t="s">
        <v>23</v>
      </c>
      <c r="F29" s="8">
        <v>42584</v>
      </c>
      <c r="G29" s="7" t="s">
        <v>88</v>
      </c>
      <c r="H29" s="9" t="s">
        <v>25</v>
      </c>
      <c r="I29" s="7"/>
      <c r="J29" s="9" t="s">
        <v>26</v>
      </c>
      <c r="K29" s="7" t="s">
        <v>36</v>
      </c>
      <c r="L29" s="7" t="s">
        <v>37</v>
      </c>
      <c r="M29" s="7" t="s">
        <v>29</v>
      </c>
      <c r="N29" s="7"/>
      <c r="O29" s="7" t="s">
        <v>66</v>
      </c>
      <c r="P29" s="7" t="s">
        <v>67</v>
      </c>
      <c r="Q29" s="7" t="s">
        <v>54</v>
      </c>
      <c r="R29" s="7" t="s">
        <v>61</v>
      </c>
      <c r="S29" s="7" t="s">
        <v>35</v>
      </c>
      <c r="T29" s="10">
        <v>1</v>
      </c>
      <c r="U29" s="11">
        <v>996</v>
      </c>
      <c r="V29" s="11">
        <v>996</v>
      </c>
      <c r="W29" s="11"/>
      <c r="X29" s="11">
        <v>498</v>
      </c>
      <c r="Y29" s="11">
        <v>498</v>
      </c>
    </row>
    <row r="30" spans="1:25" x14ac:dyDescent="0.25">
      <c r="A30" s="7"/>
      <c r="B30" s="7"/>
      <c r="C30" s="7"/>
      <c r="D30" s="7"/>
      <c r="E30" s="7" t="s">
        <v>23</v>
      </c>
      <c r="F30" s="8">
        <v>42584</v>
      </c>
      <c r="G30" s="7" t="s">
        <v>88</v>
      </c>
      <c r="H30" s="9" t="s">
        <v>25</v>
      </c>
      <c r="I30" s="7"/>
      <c r="J30" s="9" t="s">
        <v>26</v>
      </c>
      <c r="K30" s="7" t="s">
        <v>36</v>
      </c>
      <c r="L30" s="7" t="s">
        <v>37</v>
      </c>
      <c r="M30" s="7" t="s">
        <v>29</v>
      </c>
      <c r="N30" s="7"/>
      <c r="O30" s="7" t="s">
        <v>68</v>
      </c>
      <c r="P30" s="7" t="s">
        <v>67</v>
      </c>
      <c r="Q30" s="7" t="s">
        <v>54</v>
      </c>
      <c r="R30" s="7" t="s">
        <v>61</v>
      </c>
      <c r="S30" s="7" t="s">
        <v>35</v>
      </c>
      <c r="T30" s="10">
        <v>1</v>
      </c>
      <c r="U30" s="11">
        <v>260</v>
      </c>
      <c r="V30" s="11">
        <v>260</v>
      </c>
      <c r="W30" s="11"/>
      <c r="X30" s="11">
        <v>130</v>
      </c>
      <c r="Y30" s="11">
        <v>130</v>
      </c>
    </row>
    <row r="31" spans="1:25" x14ac:dyDescent="0.25">
      <c r="A31" s="7"/>
      <c r="B31" s="7"/>
      <c r="C31" s="7"/>
      <c r="D31" s="7"/>
      <c r="E31" s="7" t="s">
        <v>23</v>
      </c>
      <c r="F31" s="8">
        <v>42585</v>
      </c>
      <c r="G31" s="7" t="s">
        <v>89</v>
      </c>
      <c r="H31" s="9" t="s">
        <v>25</v>
      </c>
      <c r="I31" s="7"/>
      <c r="J31" s="9" t="s">
        <v>26</v>
      </c>
      <c r="K31" s="7" t="s">
        <v>36</v>
      </c>
      <c r="L31" s="7" t="s">
        <v>58</v>
      </c>
      <c r="M31" s="7" t="s">
        <v>29</v>
      </c>
      <c r="N31" s="7"/>
      <c r="O31" s="7" t="s">
        <v>59</v>
      </c>
      <c r="P31" s="7" t="s">
        <v>45</v>
      </c>
      <c r="Q31" s="7" t="s">
        <v>54</v>
      </c>
      <c r="R31" s="7" t="s">
        <v>61</v>
      </c>
      <c r="S31" s="7" t="s">
        <v>35</v>
      </c>
      <c r="T31" s="10">
        <v>1</v>
      </c>
      <c r="U31" s="11">
        <v>1516</v>
      </c>
      <c r="V31" s="11">
        <v>1516</v>
      </c>
      <c r="W31" s="11"/>
      <c r="X31" s="11">
        <v>682.13</v>
      </c>
      <c r="Y31" s="11">
        <v>682.13</v>
      </c>
    </row>
    <row r="32" spans="1:25" x14ac:dyDescent="0.25">
      <c r="A32" s="7"/>
      <c r="B32" s="7"/>
      <c r="C32" s="7"/>
      <c r="D32" s="7"/>
      <c r="E32" s="7" t="s">
        <v>23</v>
      </c>
      <c r="F32" s="8">
        <v>42585</v>
      </c>
      <c r="G32" s="7" t="s">
        <v>89</v>
      </c>
      <c r="H32" s="9" t="s">
        <v>25</v>
      </c>
      <c r="I32" s="7"/>
      <c r="J32" s="9" t="s">
        <v>26</v>
      </c>
      <c r="K32" s="7" t="s">
        <v>36</v>
      </c>
      <c r="L32" s="7" t="s">
        <v>58</v>
      </c>
      <c r="M32" s="7" t="s">
        <v>29</v>
      </c>
      <c r="N32" s="7"/>
      <c r="O32" s="7" t="s">
        <v>62</v>
      </c>
      <c r="P32" s="7" t="s">
        <v>45</v>
      </c>
      <c r="Q32" s="7" t="s">
        <v>54</v>
      </c>
      <c r="R32" s="7" t="s">
        <v>61</v>
      </c>
      <c r="S32" s="7" t="s">
        <v>35</v>
      </c>
      <c r="T32" s="10">
        <v>1</v>
      </c>
      <c r="U32" s="11">
        <v>206</v>
      </c>
      <c r="V32" s="11">
        <v>206</v>
      </c>
      <c r="W32" s="11"/>
      <c r="X32" s="11">
        <v>92.69</v>
      </c>
      <c r="Y32" s="11">
        <v>92.69</v>
      </c>
    </row>
    <row r="33" spans="1:25" x14ac:dyDescent="0.25">
      <c r="A33" s="7"/>
      <c r="B33" s="7"/>
      <c r="C33" s="7"/>
      <c r="D33" s="7"/>
      <c r="E33" s="7" t="s">
        <v>23</v>
      </c>
      <c r="F33" s="8">
        <v>42585</v>
      </c>
      <c r="G33" s="7" t="s">
        <v>89</v>
      </c>
      <c r="H33" s="9" t="s">
        <v>25</v>
      </c>
      <c r="I33" s="7"/>
      <c r="J33" s="9" t="s">
        <v>26</v>
      </c>
      <c r="K33" s="7" t="s">
        <v>36</v>
      </c>
      <c r="L33" s="7" t="s">
        <v>58</v>
      </c>
      <c r="M33" s="7" t="s">
        <v>29</v>
      </c>
      <c r="N33" s="7"/>
      <c r="O33" s="7" t="s">
        <v>63</v>
      </c>
      <c r="P33" s="7" t="s">
        <v>45</v>
      </c>
      <c r="Q33" s="7" t="s">
        <v>54</v>
      </c>
      <c r="R33" s="7" t="s">
        <v>61</v>
      </c>
      <c r="S33" s="7" t="s">
        <v>35</v>
      </c>
      <c r="T33" s="10">
        <v>1</v>
      </c>
      <c r="U33" s="11">
        <v>266</v>
      </c>
      <c r="V33" s="11">
        <v>266</v>
      </c>
      <c r="W33" s="11"/>
      <c r="X33" s="11">
        <v>119.68</v>
      </c>
      <c r="Y33" s="11">
        <v>119.68</v>
      </c>
    </row>
    <row r="34" spans="1:25" x14ac:dyDescent="0.25">
      <c r="A34" s="7"/>
      <c r="B34" s="7"/>
      <c r="C34" s="7"/>
      <c r="D34" s="7"/>
      <c r="E34" s="7" t="s">
        <v>23</v>
      </c>
      <c r="F34" s="8">
        <v>42585</v>
      </c>
      <c r="G34" s="7" t="s">
        <v>89</v>
      </c>
      <c r="H34" s="9" t="s">
        <v>25</v>
      </c>
      <c r="I34" s="7"/>
      <c r="J34" s="9" t="s">
        <v>26</v>
      </c>
      <c r="K34" s="7" t="s">
        <v>36</v>
      </c>
      <c r="L34" s="7" t="s">
        <v>69</v>
      </c>
      <c r="M34" s="7" t="s">
        <v>29</v>
      </c>
      <c r="N34" s="7"/>
      <c r="O34" s="7" t="s">
        <v>70</v>
      </c>
      <c r="P34" s="7" t="s">
        <v>71</v>
      </c>
      <c r="Q34" s="7" t="s">
        <v>54</v>
      </c>
      <c r="R34" s="7" t="s">
        <v>61</v>
      </c>
      <c r="S34" s="7" t="s">
        <v>35</v>
      </c>
      <c r="T34" s="10">
        <v>1</v>
      </c>
      <c r="U34" s="11">
        <v>455</v>
      </c>
      <c r="V34" s="11">
        <v>455</v>
      </c>
      <c r="W34" s="11"/>
      <c r="X34" s="11">
        <v>227.5</v>
      </c>
      <c r="Y34" s="11">
        <v>227.5</v>
      </c>
    </row>
    <row r="35" spans="1:25" x14ac:dyDescent="0.25">
      <c r="A35" s="7"/>
      <c r="B35" s="7"/>
      <c r="C35" s="7"/>
      <c r="D35" s="7"/>
      <c r="E35" s="7" t="s">
        <v>23</v>
      </c>
      <c r="F35" s="8">
        <v>42585</v>
      </c>
      <c r="G35" s="7" t="s">
        <v>89</v>
      </c>
      <c r="H35" s="9" t="s">
        <v>25</v>
      </c>
      <c r="I35" s="7"/>
      <c r="J35" s="9" t="s">
        <v>26</v>
      </c>
      <c r="K35" s="7" t="s">
        <v>36</v>
      </c>
      <c r="L35" s="7" t="s">
        <v>69</v>
      </c>
      <c r="M35" s="7" t="s">
        <v>29</v>
      </c>
      <c r="N35" s="7"/>
      <c r="O35" s="7" t="s">
        <v>72</v>
      </c>
      <c r="P35" s="7" t="s">
        <v>71</v>
      </c>
      <c r="Q35" s="7" t="s">
        <v>54</v>
      </c>
      <c r="R35" s="7" t="s">
        <v>61</v>
      </c>
      <c r="S35" s="7" t="s">
        <v>35</v>
      </c>
      <c r="T35" s="10">
        <v>1</v>
      </c>
      <c r="U35" s="11">
        <v>375</v>
      </c>
      <c r="V35" s="11">
        <v>375</v>
      </c>
      <c r="W35" s="11"/>
      <c r="X35" s="11">
        <v>187.5</v>
      </c>
      <c r="Y35" s="11">
        <v>187.5</v>
      </c>
    </row>
    <row r="36" spans="1:25" x14ac:dyDescent="0.25">
      <c r="A36" s="7"/>
      <c r="B36" s="7"/>
      <c r="C36" s="7"/>
      <c r="D36" s="7"/>
      <c r="E36" s="7" t="s">
        <v>23</v>
      </c>
      <c r="F36" s="8">
        <v>42585</v>
      </c>
      <c r="G36" s="7" t="s">
        <v>89</v>
      </c>
      <c r="H36" s="9" t="s">
        <v>25</v>
      </c>
      <c r="I36" s="7"/>
      <c r="J36" s="9" t="s">
        <v>26</v>
      </c>
      <c r="K36" s="7" t="s">
        <v>36</v>
      </c>
      <c r="L36" s="7" t="s">
        <v>69</v>
      </c>
      <c r="M36" s="7" t="s">
        <v>29</v>
      </c>
      <c r="N36" s="7"/>
      <c r="O36" s="7" t="s">
        <v>73</v>
      </c>
      <c r="P36" s="7" t="s">
        <v>71</v>
      </c>
      <c r="Q36" s="7" t="s">
        <v>74</v>
      </c>
      <c r="R36" s="7" t="s">
        <v>61</v>
      </c>
      <c r="S36" s="7" t="s">
        <v>35</v>
      </c>
      <c r="T36" s="10">
        <v>1</v>
      </c>
      <c r="U36" s="11">
        <v>65</v>
      </c>
      <c r="V36" s="11">
        <v>65</v>
      </c>
      <c r="W36" s="11"/>
      <c r="X36" s="11">
        <v>32.5</v>
      </c>
      <c r="Y36" s="11">
        <v>32.5</v>
      </c>
    </row>
    <row r="37" spans="1:25" x14ac:dyDescent="0.25">
      <c r="A37" s="7"/>
      <c r="B37" s="7"/>
      <c r="C37" s="7"/>
      <c r="D37" s="7"/>
      <c r="E37" s="7" t="s">
        <v>23</v>
      </c>
      <c r="F37" s="8">
        <v>42585</v>
      </c>
      <c r="G37" s="7" t="s">
        <v>24</v>
      </c>
      <c r="H37" s="9" t="s">
        <v>25</v>
      </c>
      <c r="I37" s="7"/>
      <c r="J37" s="9" t="s">
        <v>26</v>
      </c>
      <c r="K37" s="7" t="s">
        <v>36</v>
      </c>
      <c r="L37" s="7" t="s">
        <v>75</v>
      </c>
      <c r="M37" s="7" t="s">
        <v>29</v>
      </c>
      <c r="N37" s="7"/>
      <c r="O37" s="7" t="s">
        <v>76</v>
      </c>
      <c r="P37" s="7" t="s">
        <v>77</v>
      </c>
      <c r="Q37" s="7" t="s">
        <v>54</v>
      </c>
      <c r="R37" s="7" t="s">
        <v>61</v>
      </c>
      <c r="S37" s="7" t="s">
        <v>35</v>
      </c>
      <c r="T37" s="10">
        <v>1</v>
      </c>
      <c r="U37" s="11">
        <v>1383</v>
      </c>
      <c r="V37" s="11">
        <v>1383</v>
      </c>
      <c r="W37" s="11"/>
      <c r="X37" s="11">
        <v>691.5</v>
      </c>
      <c r="Y37" s="11">
        <v>691.5</v>
      </c>
    </row>
    <row r="38" spans="1:25" x14ac:dyDescent="0.25">
      <c r="A38" s="7"/>
      <c r="B38" s="7"/>
      <c r="C38" s="7"/>
      <c r="D38" s="7"/>
      <c r="E38" s="7" t="s">
        <v>23</v>
      </c>
      <c r="F38" s="8">
        <v>42586</v>
      </c>
      <c r="G38" s="7" t="s">
        <v>24</v>
      </c>
      <c r="H38" s="9" t="s">
        <v>25</v>
      </c>
      <c r="I38" s="7"/>
      <c r="J38" s="9" t="s">
        <v>26</v>
      </c>
      <c r="K38" s="7"/>
      <c r="L38" s="7" t="s">
        <v>78</v>
      </c>
      <c r="M38" s="7" t="s">
        <v>29</v>
      </c>
      <c r="N38" s="7" t="s">
        <v>44</v>
      </c>
      <c r="O38" s="7" t="s">
        <v>79</v>
      </c>
      <c r="P38" s="7" t="s">
        <v>45</v>
      </c>
      <c r="Q38" s="7" t="s">
        <v>54</v>
      </c>
      <c r="R38" s="7" t="s">
        <v>61</v>
      </c>
      <c r="S38" s="7" t="s">
        <v>35</v>
      </c>
      <c r="T38" s="10">
        <v>1</v>
      </c>
      <c r="U38" s="11">
        <v>1400</v>
      </c>
      <c r="V38" s="11">
        <v>1400</v>
      </c>
      <c r="W38" s="11"/>
      <c r="X38" s="11">
        <v>700</v>
      </c>
      <c r="Y38" s="11">
        <v>700</v>
      </c>
    </row>
    <row r="39" spans="1:25" x14ac:dyDescent="0.25">
      <c r="A39" s="7"/>
      <c r="B39" s="7"/>
      <c r="C39" s="7"/>
      <c r="D39" s="7"/>
      <c r="E39" s="7" t="s">
        <v>23</v>
      </c>
      <c r="F39" s="8">
        <v>42586</v>
      </c>
      <c r="G39" s="7" t="s">
        <v>24</v>
      </c>
      <c r="H39" s="9" t="s">
        <v>25</v>
      </c>
      <c r="I39" s="7"/>
      <c r="J39" s="9" t="s">
        <v>26</v>
      </c>
      <c r="K39" s="7"/>
      <c r="L39" s="7" t="s">
        <v>78</v>
      </c>
      <c r="M39" s="7" t="s">
        <v>29</v>
      </c>
      <c r="N39" s="7" t="s">
        <v>44</v>
      </c>
      <c r="O39" s="7" t="s">
        <v>80</v>
      </c>
      <c r="P39" s="7" t="s">
        <v>45</v>
      </c>
      <c r="Q39" s="7" t="s">
        <v>54</v>
      </c>
      <c r="R39" s="7" t="s">
        <v>61</v>
      </c>
      <c r="S39" s="7" t="s">
        <v>35</v>
      </c>
      <c r="T39" s="10">
        <v>1</v>
      </c>
      <c r="U39" s="11">
        <v>585</v>
      </c>
      <c r="V39" s="11">
        <v>585</v>
      </c>
      <c r="X39" s="11">
        <v>292.5</v>
      </c>
      <c r="Y39" s="11">
        <v>292.5</v>
      </c>
    </row>
    <row r="40" spans="1:25" ht="15.75" thickBot="1" x14ac:dyDescent="0.3">
      <c r="A40" s="7"/>
      <c r="B40" s="7"/>
      <c r="C40" s="7" t="s">
        <v>81</v>
      </c>
      <c r="D40" s="7"/>
      <c r="E40" s="7"/>
      <c r="F40" s="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14">
        <v>59</v>
      </c>
      <c r="U40" s="11"/>
      <c r="V40" s="11"/>
      <c r="W40" s="11">
        <f>SUM(W20:W38)</f>
        <v>199</v>
      </c>
      <c r="X40" s="15">
        <f>SUM(X20:X39)</f>
        <v>4747.5</v>
      </c>
      <c r="Y40" s="15">
        <f>SUM(Y20:Y39)</f>
        <v>4548.5</v>
      </c>
    </row>
    <row r="41" spans="1:25" ht="15.75" thickBot="1" x14ac:dyDescent="0.3">
      <c r="A41" s="7"/>
      <c r="B41" s="7" t="s">
        <v>82</v>
      </c>
      <c r="C41" s="7"/>
      <c r="D41" s="7"/>
      <c r="E41" s="7"/>
      <c r="F41" s="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14">
        <v>64</v>
      </c>
      <c r="U41" s="11"/>
      <c r="V41" s="11"/>
      <c r="W41" s="16">
        <v>1055</v>
      </c>
      <c r="X41" s="16">
        <v>17396.5</v>
      </c>
      <c r="Y41" s="16">
        <v>16341.5</v>
      </c>
    </row>
    <row r="42" spans="1:25" ht="15.75" thickBot="1" x14ac:dyDescent="0.3">
      <c r="A42" s="3" t="s">
        <v>83</v>
      </c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17">
        <v>105</v>
      </c>
      <c r="U42" s="6"/>
      <c r="V42" s="6"/>
      <c r="W42" s="18">
        <v>1777</v>
      </c>
      <c r="X42" s="18">
        <v>35651.5</v>
      </c>
      <c r="Y42" s="18">
        <v>33874.5</v>
      </c>
    </row>
  </sheetData>
  <hyperlinks>
    <hyperlink ref="N5" r:id="rId1"/>
    <hyperlink ref="N6" r:id="rId2"/>
    <hyperlink ref="N12" r:id="rId3"/>
    <hyperlink ref="N38" r:id="rId4"/>
    <hyperlink ref="N39" r:id="rId5"/>
  </hyperlinks>
  <pageMargins left="0.7" right="0.7" top="0.75" bottom="0.75" header="0.51180555555555496" footer="0.51180555555555496"/>
  <pageSetup firstPageNumber="0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Mayr</dc:creator>
  <cp:lastModifiedBy>Shipra Agnihotri</cp:lastModifiedBy>
  <cp:revision>10</cp:revision>
  <dcterms:created xsi:type="dcterms:W3CDTF">2016-09-09T14:04:38Z</dcterms:created>
  <dcterms:modified xsi:type="dcterms:W3CDTF">2017-02-06T12:19:06Z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